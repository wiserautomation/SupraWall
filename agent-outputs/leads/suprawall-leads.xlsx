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Database" sheetId="1" state="visible" r:id="rId3"/>
    <sheet name="Summary" sheetId="2" state="visible" r:id="rId4"/>
  </sheets>
  <definedNames>
    <definedName function="false" hidden="true" localSheetId="0" name="_xlnm._FilterDatabase" vbProcedure="false">'Lead Database'!$A$1:$O$13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<sst xmlns="http://schemas.openxmlformats.org/spreadsheetml/2006/main" count="163" uniqueCount="124">
  <si>
    <t xml:space="preserve">Company</t>
  </si>
  <si>
    <t xml:space="preserve">Size</t>
  </si>
  <si>
    <t xml:space="preserve">Industry</t>
  </si>
  <si>
    <t xml:space="preserve">AI Use Case</t>
  </si>
  <si>
    <t xml:space="preserve">Framework</t>
  </si>
  <si>
    <t xml:space="preserve">Key Contact</t>
  </si>
  <si>
    <t xml:space="preserve">Title</t>
  </si>
  <si>
    <t xml:space="preserve">Email</t>
  </si>
  <si>
    <t xml:space="preserve">LinkedIn</t>
  </si>
  <si>
    <t xml:space="preserve">Compliance Needs</t>
  </si>
  <si>
    <t xml:space="preserve">Score</t>
  </si>
  <si>
    <t xml:space="preserve">Status</t>
  </si>
  <si>
    <t xml:space="preserve">Personalization Hook</t>
  </si>
  <si>
    <t xml:space="preserve">Source</t>
  </si>
  <si>
    <t xml:space="preserve">Date Added</t>
  </si>
  <si>
    <t xml:space="preserve">Hippocratic AI</t>
  </si>
  <si>
    <t xml:space="preserve">200+</t>
  </si>
  <si>
    <t xml:space="preserve">Healthcare</t>
  </si>
  <si>
    <t xml:space="preserve">Patient-facing clinical AI agents (scheduling, chronic disease mgmt, follow-ups)</t>
  </si>
  <si>
    <t xml:space="preserve">Custom/OpenAI</t>
  </si>
  <si>
    <t xml:space="preserve">Saad Godil</t>
  </si>
  <si>
    <t xml:space="preserve">CTO</t>
  </si>
  <si>
    <t xml:space="preserve">linkedin.com/in/saad-godil-9728353</t>
  </si>
  <si>
    <t xml:space="preserve">HIPAA, FDA, Clinical safety</t>
  </si>
  <si>
    <t xml:space="preserve">Hot</t>
  </si>
  <si>
    <t xml:space="preserve">Deploying non-diagnostic clinical agents at scale in regulated healthcare — AI agent security is table stakes for hospital customers</t>
  </si>
  <si>
    <t xml:space="preserve">Job boards + News</t>
  </si>
  <si>
    <t xml:space="preserve">2026-03-27</t>
  </si>
  <si>
    <t xml:space="preserve">Harvey AI</t>
  </si>
  <si>
    <t xml:space="preserve">Legal Tech</t>
  </si>
  <si>
    <t xml:space="preserve">AI agents for legal research, contract review, due diligence</t>
  </si>
  <si>
    <t xml:space="preserve">Custom LLM</t>
  </si>
  <si>
    <t xml:space="preserve">Ben Liebald</t>
  </si>
  <si>
    <t xml:space="preserve">VP Engineering</t>
  </si>
  <si>
    <t xml:space="preserve">linkedin.com/in/benliebald</t>
  </si>
  <si>
    <t xml:space="preserve">Attorney-client privilege, SOC2, Data residency</t>
  </si>
  <si>
    <t xml:space="preserve">Law firms demand airtight security for AI handling privileged docs — SupraWall as the security layer for risk-averse legal clients</t>
  </si>
  <si>
    <t xml:space="preserve">News + Funding</t>
  </si>
  <si>
    <t xml:space="preserve">Pendo</t>
  </si>
  <si>
    <t xml:space="preserve">1,055</t>
  </si>
  <si>
    <t xml:space="preserve">SaaS / Product Analytics</t>
  </si>
  <si>
    <t xml:space="preserve">Agent Analytics — measuring AI agent performance, usage, business impact</t>
  </si>
  <si>
    <t xml:space="preserve">Custom</t>
  </si>
  <si>
    <t xml:space="preserve">Erik Troan</t>
  </si>
  <si>
    <t xml:space="preserve">CTO / Co-Founder</t>
  </si>
  <si>
    <t xml:space="preserve">SOC2, Enterprise data privacy</t>
  </si>
  <si>
    <t xml:space="preserve">Pendo monitors AI agents for customers — needs to ensure monitored agents are also secure. SupraWall + Agent Analytics = complete stack</t>
  </si>
  <si>
    <t xml:space="preserve">News (Fast Company 2026)</t>
  </si>
  <si>
    <t xml:space="preserve">Alibaba Cloud (Wukong)</t>
  </si>
  <si>
    <t xml:space="preserve">10,000+</t>
  </si>
  <si>
    <t xml:space="preserve">Cloud / Enterprise AI</t>
  </si>
  <si>
    <t xml:space="preserve">Multi-agent orchestration platform for enterprise customers</t>
  </si>
  <si>
    <t xml:space="preserve">VP Engineering (TBD)</t>
  </si>
  <si>
    <t xml:space="preserve">China data regs, ISO 27001, Enterprise SLAs</t>
  </si>
  <si>
    <t xml:space="preserve">Marketing 'enterprise-grade security' for agent orchestration — SupraWall could power that claim as they expand globally</t>
  </si>
  <si>
    <t xml:space="preserve">News (CNBC March 2026)</t>
  </si>
  <si>
    <t xml:space="preserve">7AI</t>
  </si>
  <si>
    <t xml:space="preserve">50-100</t>
  </si>
  <si>
    <t xml:space="preserve">Cybersecurity</t>
  </si>
  <si>
    <t xml:space="preserve">Autonomous AI agents for security alert triage, investigations, incident response</t>
  </si>
  <si>
    <t xml:space="preserve">CTO (TBD)</t>
  </si>
  <si>
    <t xml:space="preserve">SOC2, ISO 27001, FedRAMP</t>
  </si>
  <si>
    <t xml:space="preserve">Security agents need their own security — prompt injection on a SOC agent could suppress real alerts. SupraWall secures the security agents</t>
  </si>
  <si>
    <t xml:space="preserve">Funding ($130M Series A)</t>
  </si>
  <si>
    <t xml:space="preserve">CrewAI</t>
  </si>
  <si>
    <t xml:space="preserve">Developer Tools</t>
  </si>
  <si>
    <t xml:space="preserve">Multi-agent framework powering 60% of Fortune 500 agent deployments</t>
  </si>
  <si>
    <t xml:space="preserve">Enterprise security controls, SOC2</t>
  </si>
  <si>
    <t xml:space="preserve">CrewAI Enterprise security controls described as 'less mature' — SupraWall integration as partnership to strengthen Fortune 500 security story</t>
  </si>
  <si>
    <t xml:space="preserve">GitHub + News</t>
  </si>
  <si>
    <t xml:space="preserve">Luma AI</t>
  </si>
  <si>
    <t xml:space="preserve">246</t>
  </si>
  <si>
    <t xml:space="preserve">Creative AI</t>
  </si>
  <si>
    <t xml:space="preserve">Multi-modal creative AI agents (text, image, video, audio generation)</t>
  </si>
  <si>
    <t xml:space="preserve">Amit Jain</t>
  </si>
  <si>
    <t xml:space="preserve">Co-Founder/CEO</t>
  </si>
  <si>
    <t xml:space="preserve">IP protection, Data isolation</t>
  </si>
  <si>
    <t xml:space="preserve">Warm</t>
  </si>
  <si>
    <t xml:space="preserve">Creative agents processing client assets need IP protection and data isolation — SupraWall prevents data leakage across agent sessions</t>
  </si>
  <si>
    <t xml:space="preserve">News (TechCrunch March 2026)</t>
  </si>
  <si>
    <t xml:space="preserve">Cognition AI (Devin)</t>
  </si>
  <si>
    <t xml:space="preserve">Autonomous AI software engineer — plans, codes, tests, deploys applications</t>
  </si>
  <si>
    <t xml:space="preserve">Code security, Supply chain</t>
  </si>
  <si>
    <t xml:space="preserve">Code-generating agents are a prime attack vector — SupraWall prevents malicious code injection through AI agent pipelines</t>
  </si>
  <si>
    <t xml:space="preserve">Funding ($175M Series B)</t>
  </si>
  <si>
    <t xml:space="preserve">Dropzone AI</t>
  </si>
  <si>
    <t xml:space="preserve">AI agents for security analytics and operations</t>
  </si>
  <si>
    <t xml:space="preserve">SOC2, FedRAMP</t>
  </si>
  <si>
    <t xml:space="preserve">Security analytics agents need protection against adversarial inputs that could corrupt threat assessments</t>
  </si>
  <si>
    <t xml:space="preserve">Funding ($37M Series B)</t>
  </si>
  <si>
    <t xml:space="preserve">RunSybil</t>
  </si>
  <si>
    <t xml:space="preserve">20-50</t>
  </si>
  <si>
    <t xml:space="preserve">AI agents for automated penetration testing</t>
  </si>
  <si>
    <t xml:space="preserve">CEO (ex-OpenAI security)</t>
  </si>
  <si>
    <t xml:space="preserve">SOC2, Responsible disclosure</t>
  </si>
  <si>
    <t xml:space="preserve">AI pentesting agents interact with production systems — one hallucination could be catastrophic. Founded by OpenAI's first security hire</t>
  </si>
  <si>
    <t xml:space="preserve">Funding ($40M, Khosla)</t>
  </si>
  <si>
    <t xml:space="preserve">Distro</t>
  </si>
  <si>
    <t xml:space="preserve">11</t>
  </si>
  <si>
    <t xml:space="preserve">Sales Tech</t>
  </si>
  <si>
    <t xml:space="preserve">AI co-pilot for sales reps at industrial wholesale distributors</t>
  </si>
  <si>
    <t xml:space="preserve">Jason Sullivan</t>
  </si>
  <si>
    <t xml:space="preserve">CEO/Founder</t>
  </si>
  <si>
    <t xml:space="preserve">Basic data privacy</t>
  </si>
  <si>
    <t xml:space="preserve">Cold</t>
  </si>
  <si>
    <t xml:space="preserve">Too early-stage for enterprise security tooling but worth monitoring as they scale</t>
  </si>
  <si>
    <t xml:space="preserve">GitHub + YC</t>
  </si>
  <si>
    <t xml:space="preserve">Microsoft (Agent 365)</t>
  </si>
  <si>
    <t xml:space="preserve">200,000+</t>
  </si>
  <si>
    <t xml:space="preserve">Enterprise Software</t>
  </si>
  <si>
    <t xml:space="preserve">Agent 365 — control plane for AI agents across enterprises</t>
  </si>
  <si>
    <t xml:space="preserve">N/A (competitor/partner)</t>
  </si>
  <si>
    <t xml:space="preserve">Monitor</t>
  </si>
  <si>
    <t xml:space="preserve">Too large to be a customer — monitor as competitor or potential integration partner for SupraWall</t>
  </si>
  <si>
    <t xml:space="preserve">News (VentureBeat March 2026)</t>
  </si>
  <si>
    <t xml:space="preserve">SupraWall Lead Database — Daily Scan Summary</t>
  </si>
  <si>
    <t xml:space="preserve">Metric</t>
  </si>
  <si>
    <t xml:space="preserve">Value</t>
  </si>
  <si>
    <t xml:space="preserve">Total Leads</t>
  </si>
  <si>
    <t xml:space="preserve">Hot Leads (7+)</t>
  </si>
  <si>
    <t xml:space="preserve">Warm Leads (4-6)</t>
  </si>
  <si>
    <t xml:space="preserve">Cold Leads (&lt;4)</t>
  </si>
  <si>
    <t xml:space="preserve">Average Score</t>
  </si>
  <si>
    <t xml:space="preserve">Last Updated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</si>
</sst>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F549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45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25"/>
    <col collapsed="false" customWidth="true" hidden="false" outlineLevel="0" max="10" min="9" style="0" width="30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55"/>
    <col collapsed="false" customWidth="true" hidden="false" outlineLevel="0" max="14" min="14" style="0" width="28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35.0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/>
      <c r="I2" s="2" t="s">
        <v>22</v>
      </c>
      <c r="J2" s="2" t="s">
        <v>23</v>
      </c>
      <c r="K2" s="3" t="n">
        <v>9</v>
      </c>
      <c r="L2" s="3" t="s">
        <v>24</v>
      </c>
      <c r="M2" s="2" t="s">
        <v>25</v>
      </c>
      <c r="N2" s="2" t="s">
        <v>26</v>
      </c>
      <c r="O2" s="2" t="s">
        <v>27</v>
      </c>
    </row>
    <row r="3" customFormat="false" ht="23.85" hidden="false" customHeight="false" outlineLevel="0" collapsed="false">
      <c r="A3" s="2" t="s">
        <v>28</v>
      </c>
      <c r="B3" s="2" t="s">
        <v>16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/>
      <c r="I3" s="2" t="s">
        <v>34</v>
      </c>
      <c r="J3" s="2" t="s">
        <v>35</v>
      </c>
      <c r="K3" s="3" t="n">
        <v>9</v>
      </c>
      <c r="L3" s="3" t="s">
        <v>24</v>
      </c>
      <c r="M3" s="2" t="s">
        <v>36</v>
      </c>
      <c r="N3" s="2" t="s">
        <v>37</v>
      </c>
      <c r="O3" s="2" t="s">
        <v>27</v>
      </c>
    </row>
    <row r="4" customFormat="false" ht="35.05" hidden="false" customHeight="false" outlineLevel="0" collapsed="false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/>
      <c r="I4" s="2"/>
      <c r="J4" s="2" t="s">
        <v>45</v>
      </c>
      <c r="K4" s="3" t="n">
        <v>8</v>
      </c>
      <c r="L4" s="3" t="s">
        <v>24</v>
      </c>
      <c r="M4" s="2" t="s">
        <v>46</v>
      </c>
      <c r="N4" s="2" t="s">
        <v>47</v>
      </c>
      <c r="O4" s="2" t="s">
        <v>27</v>
      </c>
    </row>
    <row r="5" customFormat="false" ht="23.85" hidden="false" customHeight="false" outlineLevel="0" collapsed="false">
      <c r="A5" s="2" t="s">
        <v>48</v>
      </c>
      <c r="B5" s="2" t="s">
        <v>49</v>
      </c>
      <c r="C5" s="2" t="s">
        <v>50</v>
      </c>
      <c r="D5" s="2" t="s">
        <v>51</v>
      </c>
      <c r="E5" s="2" t="s">
        <v>42</v>
      </c>
      <c r="F5" s="2"/>
      <c r="G5" s="2" t="s">
        <v>52</v>
      </c>
      <c r="H5" s="2"/>
      <c r="I5" s="2"/>
      <c r="J5" s="2" t="s">
        <v>53</v>
      </c>
      <c r="K5" s="3" t="n">
        <v>8</v>
      </c>
      <c r="L5" s="3" t="s">
        <v>24</v>
      </c>
      <c r="M5" s="2" t="s">
        <v>54</v>
      </c>
      <c r="N5" s="2" t="s">
        <v>55</v>
      </c>
      <c r="O5" s="2" t="s">
        <v>27</v>
      </c>
    </row>
    <row r="6" customFormat="false" ht="35.05" hidden="false" customHeight="false" outlineLevel="0" collapsed="false">
      <c r="A6" s="2" t="s">
        <v>56</v>
      </c>
      <c r="B6" s="2" t="s">
        <v>57</v>
      </c>
      <c r="C6" s="2" t="s">
        <v>58</v>
      </c>
      <c r="D6" s="2" t="s">
        <v>59</v>
      </c>
      <c r="E6" s="2" t="s">
        <v>42</v>
      </c>
      <c r="F6" s="2"/>
      <c r="G6" s="2" t="s">
        <v>60</v>
      </c>
      <c r="H6" s="2"/>
      <c r="I6" s="2"/>
      <c r="J6" s="2" t="s">
        <v>61</v>
      </c>
      <c r="K6" s="3" t="n">
        <v>8</v>
      </c>
      <c r="L6" s="3" t="s">
        <v>24</v>
      </c>
      <c r="M6" s="2" t="s">
        <v>62</v>
      </c>
      <c r="N6" s="2" t="s">
        <v>63</v>
      </c>
      <c r="O6" s="2" t="s">
        <v>27</v>
      </c>
    </row>
    <row r="7" customFormat="false" ht="35.05" hidden="false" customHeight="false" outlineLevel="0" collapsed="false">
      <c r="A7" s="2" t="s">
        <v>64</v>
      </c>
      <c r="B7" s="2" t="s">
        <v>57</v>
      </c>
      <c r="C7" s="2" t="s">
        <v>65</v>
      </c>
      <c r="D7" s="2" t="s">
        <v>66</v>
      </c>
      <c r="E7" s="2" t="s">
        <v>64</v>
      </c>
      <c r="F7" s="2"/>
      <c r="G7" s="2" t="s">
        <v>60</v>
      </c>
      <c r="H7" s="2"/>
      <c r="I7" s="2"/>
      <c r="J7" s="2" t="s">
        <v>67</v>
      </c>
      <c r="K7" s="3" t="n">
        <v>7</v>
      </c>
      <c r="L7" s="3" t="s">
        <v>24</v>
      </c>
      <c r="M7" s="2" t="s">
        <v>68</v>
      </c>
      <c r="N7" s="2" t="s">
        <v>69</v>
      </c>
      <c r="O7" s="2" t="s">
        <v>27</v>
      </c>
    </row>
    <row r="8" customFormat="false" ht="35.05" hidden="false" customHeight="false" outlineLevel="0" collapsed="false">
      <c r="A8" s="2" t="s">
        <v>70</v>
      </c>
      <c r="B8" s="2" t="s">
        <v>71</v>
      </c>
      <c r="C8" s="2" t="s">
        <v>72</v>
      </c>
      <c r="D8" s="2" t="s">
        <v>73</v>
      </c>
      <c r="E8" s="2" t="s">
        <v>42</v>
      </c>
      <c r="F8" s="2" t="s">
        <v>74</v>
      </c>
      <c r="G8" s="2" t="s">
        <v>75</v>
      </c>
      <c r="H8" s="2"/>
      <c r="I8" s="2"/>
      <c r="J8" s="2" t="s">
        <v>76</v>
      </c>
      <c r="K8" s="4" t="n">
        <v>6</v>
      </c>
      <c r="L8" s="4" t="s">
        <v>77</v>
      </c>
      <c r="M8" s="2" t="s">
        <v>78</v>
      </c>
      <c r="N8" s="2" t="s">
        <v>79</v>
      </c>
      <c r="O8" s="2" t="s">
        <v>27</v>
      </c>
    </row>
    <row r="9" customFormat="false" ht="23.85" hidden="false" customHeight="false" outlineLevel="0" collapsed="false">
      <c r="A9" s="2" t="s">
        <v>80</v>
      </c>
      <c r="B9" s="2" t="s">
        <v>57</v>
      </c>
      <c r="C9" s="2" t="s">
        <v>65</v>
      </c>
      <c r="D9" s="2" t="s">
        <v>81</v>
      </c>
      <c r="E9" s="2" t="s">
        <v>42</v>
      </c>
      <c r="F9" s="2"/>
      <c r="G9" s="2" t="s">
        <v>60</v>
      </c>
      <c r="H9" s="2"/>
      <c r="I9" s="2"/>
      <c r="J9" s="2" t="s">
        <v>82</v>
      </c>
      <c r="K9" s="4" t="n">
        <v>6</v>
      </c>
      <c r="L9" s="4" t="s">
        <v>77</v>
      </c>
      <c r="M9" s="2" t="s">
        <v>83</v>
      </c>
      <c r="N9" s="2" t="s">
        <v>84</v>
      </c>
      <c r="O9" s="2" t="s">
        <v>27</v>
      </c>
    </row>
    <row r="10" customFormat="false" ht="23.85" hidden="false" customHeight="false" outlineLevel="0" collapsed="false">
      <c r="A10" s="2" t="s">
        <v>85</v>
      </c>
      <c r="B10" s="2" t="s">
        <v>57</v>
      </c>
      <c r="C10" s="2" t="s">
        <v>58</v>
      </c>
      <c r="D10" s="2" t="s">
        <v>86</v>
      </c>
      <c r="E10" s="2" t="s">
        <v>42</v>
      </c>
      <c r="F10" s="2"/>
      <c r="G10" s="2" t="s">
        <v>60</v>
      </c>
      <c r="H10" s="2"/>
      <c r="I10" s="2"/>
      <c r="J10" s="2" t="s">
        <v>87</v>
      </c>
      <c r="K10" s="4" t="n">
        <v>5</v>
      </c>
      <c r="L10" s="4" t="s">
        <v>77</v>
      </c>
      <c r="M10" s="2" t="s">
        <v>88</v>
      </c>
      <c r="N10" s="2" t="s">
        <v>89</v>
      </c>
      <c r="O10" s="2" t="s">
        <v>27</v>
      </c>
    </row>
    <row r="11" customFormat="false" ht="35.05" hidden="false" customHeight="false" outlineLevel="0" collapsed="false">
      <c r="A11" s="2" t="s">
        <v>90</v>
      </c>
      <c r="B11" s="2" t="s">
        <v>91</v>
      </c>
      <c r="C11" s="2" t="s">
        <v>58</v>
      </c>
      <c r="D11" s="2" t="s">
        <v>92</v>
      </c>
      <c r="E11" s="2" t="s">
        <v>42</v>
      </c>
      <c r="F11" s="2"/>
      <c r="G11" s="2" t="s">
        <v>93</v>
      </c>
      <c r="H11" s="2"/>
      <c r="I11" s="2"/>
      <c r="J11" s="2" t="s">
        <v>94</v>
      </c>
      <c r="K11" s="4" t="n">
        <v>5</v>
      </c>
      <c r="L11" s="4" t="s">
        <v>77</v>
      </c>
      <c r="M11" s="2" t="s">
        <v>95</v>
      </c>
      <c r="N11" s="2" t="s">
        <v>96</v>
      </c>
      <c r="O11" s="2" t="s">
        <v>27</v>
      </c>
    </row>
    <row r="12" customFormat="false" ht="23.85" hidden="false" customHeight="false" outlineLevel="0" collapsed="false">
      <c r="A12" s="2" t="s">
        <v>97</v>
      </c>
      <c r="B12" s="2" t="s">
        <v>98</v>
      </c>
      <c r="C12" s="2" t="s">
        <v>99</v>
      </c>
      <c r="D12" s="2" t="s">
        <v>100</v>
      </c>
      <c r="E12" s="2" t="s">
        <v>42</v>
      </c>
      <c r="F12" s="2" t="s">
        <v>101</v>
      </c>
      <c r="G12" s="2" t="s">
        <v>102</v>
      </c>
      <c r="H12" s="2"/>
      <c r="I12" s="2"/>
      <c r="J12" s="2" t="s">
        <v>103</v>
      </c>
      <c r="K12" s="5" t="n">
        <v>3</v>
      </c>
      <c r="L12" s="5" t="s">
        <v>104</v>
      </c>
      <c r="M12" s="2" t="s">
        <v>105</v>
      </c>
      <c r="N12" s="2" t="s">
        <v>106</v>
      </c>
      <c r="O12" s="2" t="s">
        <v>27</v>
      </c>
    </row>
    <row r="13" customFormat="false" ht="23.85" hidden="false" customHeight="false" outlineLevel="0" collapsed="false">
      <c r="A13" s="2" t="s">
        <v>107</v>
      </c>
      <c r="B13" s="2" t="s">
        <v>108</v>
      </c>
      <c r="C13" s="2" t="s">
        <v>109</v>
      </c>
      <c r="D13" s="2" t="s">
        <v>110</v>
      </c>
      <c r="E13" s="2" t="s">
        <v>42</v>
      </c>
      <c r="F13" s="2"/>
      <c r="G13" s="2"/>
      <c r="H13" s="2"/>
      <c r="I13" s="2"/>
      <c r="J13" s="2" t="s">
        <v>111</v>
      </c>
      <c r="K13" s="5" t="n">
        <v>2</v>
      </c>
      <c r="L13" s="5" t="s">
        <v>112</v>
      </c>
      <c r="M13" s="2" t="s">
        <v>113</v>
      </c>
      <c r="N13" s="2" t="s">
        <v>114</v>
      </c>
      <c r="O13" s="2" t="s">
        <v>27</v>
      </c>
    </row>
  </sheetData>
  <autoFilter ref="A1:O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6" t="s">
        <v>115</v>
      </c>
      <c r="B1" s="6"/>
      <c r="C1" s="6"/>
      <c r="D1" s="6"/>
    </row>
    <row r="3" customFormat="false" ht="15" hidden="false" customHeight="false" outlineLevel="0" collapsed="false">
      <c r="A3" s="7" t="s">
        <v>116</v>
      </c>
      <c r="B3" s="7" t="s">
        <v>117</v>
      </c>
    </row>
    <row r="4" customFormat="false" ht="15" hidden="false" customHeight="false" outlineLevel="0" collapsed="false">
      <c r="A4" s="8" t="s">
        <v>118</v>
      </c>
      <c r="B4" s="8" t="n">
        <f aca="false">COUNTA('Lead Database'!A2:A13)</f>
        <v>12</v>
      </c>
    </row>
    <row r="5" customFormat="false" ht="15" hidden="false" customHeight="false" outlineLevel="0" collapsed="false">
      <c r="A5" s="8" t="s">
        <v>119</v>
      </c>
      <c r="B5" s="8" t="n">
        <f aca="false">COUNTIF('Lead Database'!K2:K13,"&gt;=7")</f>
        <v>6</v>
      </c>
    </row>
    <row r="6" customFormat="false" ht="15" hidden="false" customHeight="false" outlineLevel="0" collapsed="false">
      <c r="A6" s="8" t="s">
        <v>120</v>
      </c>
      <c r="B6" s="8" t="n">
        <f aca="false">COUNTIFS('Lead Database'!K2:K13,"&gt;=4",'Lead Database'!K2:K13,"&lt;7")</f>
        <v>4</v>
      </c>
    </row>
    <row r="7" customFormat="false" ht="15" hidden="false" customHeight="false" outlineLevel="0" collapsed="false">
      <c r="A7" s="8" t="s">
        <v>121</v>
      </c>
      <c r="B7" s="8" t="n">
        <f aca="false">COUNTIF('Lead Database'!K2:K13,"&lt;4")</f>
        <v>2</v>
      </c>
    </row>
    <row r="8" customFormat="false" ht="15" hidden="false" customHeight="false" outlineLevel="0" collapsed="false">
      <c r="A8" s="8" t="s">
        <v>122</v>
      </c>
      <c r="B8" s="8" t="n">
        <f aca="false">AVERAGE('Lead Database'!K2:K13)</f>
        <v>6.33333333333333</v>
      </c>
    </row>
    <row r="9" customFormat="false" ht="15" hidden="false" customHeight="false" outlineLevel="0" collapsed="false">
      <c r="A9" s="8" t="s">
        <v>123</v>
      </c>
      <c r="B9" s="8" t="s">
        <v>27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2026-03-27T04:07:32Z</dcterms:created>
  <dc:creator>openpyxl</dc:creator>
  <dc:description/>
  <dc:language>en-US</dc:language>
  <cp:lastModifiedBy/>
  <dcterms:modified xsi:type="dcterms:W3CDTF">2026-03-27T04:07:32Z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